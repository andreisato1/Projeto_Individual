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a7ca5f30cd3020/Desktop/Github-Projetos/Andrei/Projeto_Individual/"/>
    </mc:Choice>
  </mc:AlternateContent>
  <xr:revisionPtr revIDLastSave="31" documentId="13_ncr:1_{44FEAC60-A7DE-4F2C-869B-BD342CF57A59}" xr6:coauthVersionLast="47" xr6:coauthVersionMax="47" xr10:uidLastSave="{81882BF4-C7AD-4F76-8CDC-F58C94AD9E34}"/>
  <bookViews>
    <workbookView minimized="1" xWindow="0" yWindow="2160" windowWidth="17976" windowHeight="733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N6" i="1"/>
  <c r="O4" i="1"/>
  <c r="O5" i="1"/>
  <c r="O3" i="1"/>
  <c r="N3" i="1"/>
  <c r="N4" i="1"/>
  <c r="N5" i="1"/>
  <c r="N7" i="1" l="1"/>
  <c r="O7" i="1"/>
  <c r="N2" i="1"/>
  <c r="O2" i="1"/>
</calcChain>
</file>

<file path=xl/sharedStrings.xml><?xml version="1.0" encoding="utf-8"?>
<sst xmlns="http://schemas.openxmlformats.org/spreadsheetml/2006/main" count="142" uniqueCount="67">
  <si>
    <t>Requisito</t>
  </si>
  <si>
    <t>Detalhes</t>
  </si>
  <si>
    <t xml:space="preserve">Classificação </t>
  </si>
  <si>
    <t>Tamanho</t>
  </si>
  <si>
    <t>Fibonacci</t>
  </si>
  <si>
    <t>Prioridade</t>
  </si>
  <si>
    <t>Prazo</t>
  </si>
  <si>
    <t>Realizado</t>
  </si>
  <si>
    <t>Planejado</t>
  </si>
  <si>
    <t>Entregue</t>
  </si>
  <si>
    <t>Tecnologia da Informação</t>
  </si>
  <si>
    <t>Contexto</t>
  </si>
  <si>
    <t xml:space="preserve">Essencial </t>
  </si>
  <si>
    <t>M</t>
  </si>
  <si>
    <t>Total</t>
  </si>
  <si>
    <t>Justificativa</t>
  </si>
  <si>
    <t>Objetivo</t>
  </si>
  <si>
    <t>Imagens</t>
  </si>
  <si>
    <t>Importante</t>
  </si>
  <si>
    <t>Planejamento no Trello</t>
  </si>
  <si>
    <t>Colocar os requisitos no Trello e utilizar ele como ferramenta de gestão</t>
  </si>
  <si>
    <t>GG</t>
  </si>
  <si>
    <t>Uso no Git</t>
  </si>
  <si>
    <t>Criar repositório e fazer upload dos arquivos</t>
  </si>
  <si>
    <t>G</t>
  </si>
  <si>
    <t>Média</t>
  </si>
  <si>
    <t>Backlog do projeto</t>
  </si>
  <si>
    <t>Montar o backlog inicial do projeto</t>
  </si>
  <si>
    <t>Banco de Dados</t>
  </si>
  <si>
    <t>Modelo lógico</t>
  </si>
  <si>
    <t>Fazer a modelagem das tabelas do projeto</t>
  </si>
  <si>
    <t>Comandos SQL</t>
  </si>
  <si>
    <t>Fazer comandos de insert e select nas tabelas</t>
  </si>
  <si>
    <t>Script  da modelagem</t>
  </si>
  <si>
    <t>Montar o script com a criação das tabelas</t>
  </si>
  <si>
    <t>Algoritmos</t>
  </si>
  <si>
    <t>Site Institucional</t>
  </si>
  <si>
    <t>Página inicial</t>
  </si>
  <si>
    <t>História</t>
  </si>
  <si>
    <t>Personagens</t>
  </si>
  <si>
    <t>Animes</t>
  </si>
  <si>
    <t>Desejável</t>
  </si>
  <si>
    <t>Site Cadastro</t>
  </si>
  <si>
    <t>CSS</t>
  </si>
  <si>
    <t>HTML</t>
  </si>
  <si>
    <t>JS</t>
  </si>
  <si>
    <t>Site Login</t>
  </si>
  <si>
    <t>Arq. Computadores e Matemática</t>
  </si>
  <si>
    <t>Calculos matemáticos</t>
  </si>
  <si>
    <t>mudança de força</t>
  </si>
  <si>
    <t>Introdução aos Sistemas Operacionais</t>
  </si>
  <si>
    <t>VM com banco de dados</t>
  </si>
  <si>
    <t>inserir dados no bd que está na VM</t>
  </si>
  <si>
    <t>Pesquisa e Inovação</t>
  </si>
  <si>
    <t xml:space="preserve">Falar sobre o tema escolhido </t>
  </si>
  <si>
    <t>Site Dashboard</t>
  </si>
  <si>
    <t>Inserir KPIs e Gráficos</t>
  </si>
  <si>
    <t>Socioemocional</t>
  </si>
  <si>
    <t>Slides</t>
  </si>
  <si>
    <t>Em que momento da sua história (linha da vida) o interesse ou prazer por este tema
despertou? Como está inserido no seu dia a dia e por que você escolheu este tema?</t>
  </si>
  <si>
    <t>Você deve demonstrar quais valores seus estão representados em seu desafio individual.</t>
  </si>
  <si>
    <t>Qual foi a maior dificuldade?</t>
  </si>
  <si>
    <t>Qual foi a maior superação na realização desse desafio?</t>
  </si>
  <si>
    <t>Há alguém que deva receber a sua gratidão por você ter conseguido chegar ao resultado final?</t>
  </si>
  <si>
    <t>P</t>
  </si>
  <si>
    <t>Documentação do projeto</t>
  </si>
  <si>
    <t>Linkar o tema do projeto com algum objetivo de desenvolvimento sustentável( ODS) da 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</si>
</sst>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font>
        <color theme="1"/>
      </font>
      <fill>
        <patternFill patternType="solid">
          <bgColor rgb="FFFC9E56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FC9E56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C9E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Sheet1!$M$2:$M$6</c:f>
              <c:strCache>
                <c:ptCount val="5"/>
                <c:pt idx="0">
                  <c:v>Total</c:v>
                </c:pt>
                <c:pt idx="1">
                  <c:v>3-nov-25</c:v>
                </c:pt>
                <c:pt idx="2">
                  <c:v>10-nov-25</c:v>
                </c:pt>
                <c:pt idx="3">
                  <c:v>17-nov-25</c:v>
                </c:pt>
                <c:pt idx="4">
                  <c:v>24-nov-25</c:v>
                </c:pt>
              </c:strCache>
            </c:strRef>
          </c:cat>
          <c:val>
            <c:numRef>
              <c:f>Sheet1!$N$2:$N$6</c:f>
              <c:numCache>
                <c:formatCode>General</c:formatCode>
                <c:ptCount val="5"/>
                <c:pt idx="0">
                  <c:v>424</c:v>
                </c:pt>
                <c:pt idx="1">
                  <c:v>79</c:v>
                </c:pt>
                <c:pt idx="2">
                  <c:v>55</c:v>
                </c:pt>
                <c:pt idx="3">
                  <c:v>196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F-4BF9-89C9-BF8D14B86F3A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Sheet1!$M$2:$M$6</c:f>
              <c:strCache>
                <c:ptCount val="5"/>
                <c:pt idx="0">
                  <c:v>Total</c:v>
                </c:pt>
                <c:pt idx="1">
                  <c:v>3-nov-25</c:v>
                </c:pt>
                <c:pt idx="2">
                  <c:v>10-nov-25</c:v>
                </c:pt>
                <c:pt idx="3">
                  <c:v>17-nov-25</c:v>
                </c:pt>
                <c:pt idx="4">
                  <c:v>24-nov-25</c:v>
                </c:pt>
              </c:strCache>
            </c:strRef>
          </c:cat>
          <c:val>
            <c:numRef>
              <c:f>Sheet1!$O$2:$O$6</c:f>
              <c:numCache>
                <c:formatCode>General</c:formatCode>
                <c:ptCount val="5"/>
                <c:pt idx="0">
                  <c:v>424</c:v>
                </c:pt>
                <c:pt idx="1">
                  <c:v>79</c:v>
                </c:pt>
                <c:pt idx="2">
                  <c:v>55</c:v>
                </c:pt>
                <c:pt idx="3">
                  <c:v>196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F-4BF9-89C9-BF8D14B8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814280"/>
        <c:axId val="2013828616"/>
      </c:lineChart>
      <c:catAx>
        <c:axId val="201381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28616"/>
        <c:crosses val="autoZero"/>
        <c:auto val="1"/>
        <c:lblAlgn val="ctr"/>
        <c:lblOffset val="100"/>
        <c:noMultiLvlLbl val="0"/>
      </c:catAx>
      <c:valAx>
        <c:axId val="201382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1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2722</xdr:colOff>
      <xdr:row>7</xdr:row>
      <xdr:rowOff>293914</xdr:rowOff>
    </xdr:from>
    <xdr:to>
      <xdr:col>17</xdr:col>
      <xdr:colOff>345622</xdr:colOff>
      <xdr:row>23</xdr:row>
      <xdr:rowOff>6804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B7455-3E14-A303-A968-85E9AF2B3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70" zoomScaleNormal="70" workbookViewId="0">
      <selection activeCell="I12" sqref="I12"/>
    </sheetView>
  </sheetViews>
  <sheetFormatPr defaultRowHeight="14.4" x14ac:dyDescent="0.3"/>
  <cols>
    <col min="1" max="1" width="53.5546875" bestFit="1" customWidth="1"/>
    <col min="2" max="2" width="21.6640625" style="2" bestFit="1" customWidth="1"/>
    <col min="3" max="3" width="36.5546875" style="4" bestFit="1" customWidth="1"/>
    <col min="4" max="4" width="20.33203125" style="4" bestFit="1" customWidth="1"/>
    <col min="5" max="5" width="13.88671875" style="4" bestFit="1" customWidth="1"/>
    <col min="6" max="6" width="14.5546875" style="4" bestFit="1" customWidth="1"/>
    <col min="7" max="7" width="15.109375" style="4" bestFit="1" customWidth="1"/>
    <col min="8" max="8" width="14.6640625" style="4" customWidth="1"/>
    <col min="9" max="9" width="14.5546875" style="4" bestFit="1" customWidth="1"/>
    <col min="13" max="13" width="14.5546875" bestFit="1" customWidth="1"/>
    <col min="14" max="14" width="14.88671875" bestFit="1" customWidth="1"/>
    <col min="15" max="15" width="15.109375" bestFit="1" customWidth="1"/>
  </cols>
  <sheetData>
    <row r="1" spans="1:15" ht="23.4" x14ac:dyDescent="0.45"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N1" s="3" t="s">
        <v>8</v>
      </c>
      <c r="O1" s="3" t="s">
        <v>9</v>
      </c>
    </row>
    <row r="2" spans="1:15" ht="24" customHeight="1" x14ac:dyDescent="0.3">
      <c r="A2" s="11" t="s">
        <v>10</v>
      </c>
      <c r="B2" s="12" t="s">
        <v>65</v>
      </c>
      <c r="C2" s="4" t="s">
        <v>11</v>
      </c>
      <c r="D2" s="4" t="s">
        <v>12</v>
      </c>
      <c r="E2" s="4" t="s">
        <v>13</v>
      </c>
      <c r="F2" s="4">
        <v>8</v>
      </c>
      <c r="G2" s="4">
        <v>1</v>
      </c>
      <c r="H2" s="7">
        <v>45964</v>
      </c>
      <c r="I2" s="6" t="b">
        <v>1</v>
      </c>
      <c r="M2" s="3" t="s">
        <v>14</v>
      </c>
      <c r="N2">
        <f>SUM(N3:N6)</f>
        <v>424</v>
      </c>
      <c r="O2">
        <f>SUM(O3:O6)</f>
        <v>424</v>
      </c>
    </row>
    <row r="3" spans="1:15" ht="24" customHeight="1" x14ac:dyDescent="0.3">
      <c r="A3" s="11"/>
      <c r="B3" s="12"/>
      <c r="C3" s="4" t="s">
        <v>15</v>
      </c>
      <c r="D3" s="4" t="s">
        <v>12</v>
      </c>
      <c r="E3" s="4" t="s">
        <v>13</v>
      </c>
      <c r="F3" s="4">
        <v>8</v>
      </c>
      <c r="G3" s="4">
        <v>1</v>
      </c>
      <c r="H3" s="7">
        <v>45964</v>
      </c>
      <c r="I3" s="6" t="b">
        <v>1</v>
      </c>
      <c r="M3" s="7">
        <v>45964</v>
      </c>
      <c r="N3">
        <f>SUMPRODUCT(SUMIFS($F$2:$F$36,$H$2:$H$36,M3))</f>
        <v>79</v>
      </c>
      <c r="O3">
        <f>SUMPRODUCT(SUMIFS($F$2:$F$36,$H$2:$H$36,M3,$I$2:$I$36,TRUE))</f>
        <v>79</v>
      </c>
    </row>
    <row r="4" spans="1:15" ht="24" customHeight="1" x14ac:dyDescent="0.3">
      <c r="A4" s="11"/>
      <c r="B4" s="12"/>
      <c r="C4" s="4" t="s">
        <v>16</v>
      </c>
      <c r="D4" s="4" t="s">
        <v>12</v>
      </c>
      <c r="E4" s="4" t="s">
        <v>13</v>
      </c>
      <c r="F4" s="4">
        <v>8</v>
      </c>
      <c r="G4" s="4">
        <v>1</v>
      </c>
      <c r="H4" s="7">
        <v>45964</v>
      </c>
      <c r="I4" s="6" t="b">
        <v>1</v>
      </c>
      <c r="M4" s="7">
        <v>45971</v>
      </c>
      <c r="N4">
        <f>SUMPRODUCT(SUMIFS($F$2:$F$36,$H$2:$H$36,M4))</f>
        <v>55</v>
      </c>
      <c r="O4">
        <f>SUMPRODUCT(SUMIFS($F$2:$F$36,$H$2:$H$36,M4,$I$2:$I$36,TRUE))</f>
        <v>55</v>
      </c>
    </row>
    <row r="5" spans="1:15" ht="24" customHeight="1" x14ac:dyDescent="0.3">
      <c r="A5" s="11"/>
      <c r="B5" s="12"/>
      <c r="C5" s="4" t="s">
        <v>17</v>
      </c>
      <c r="D5" s="4" t="s">
        <v>18</v>
      </c>
      <c r="E5" s="4" t="s">
        <v>13</v>
      </c>
      <c r="F5" s="4">
        <v>8</v>
      </c>
      <c r="G5" s="4">
        <v>1</v>
      </c>
      <c r="H5" s="7">
        <v>45971</v>
      </c>
      <c r="I5" s="6" t="b">
        <v>1</v>
      </c>
      <c r="M5" s="7">
        <v>45978</v>
      </c>
      <c r="N5">
        <f>SUMPRODUCT(SUMIFS($F$2:$F$36,$H$2:$H$36,M5))</f>
        <v>196</v>
      </c>
      <c r="O5">
        <f>SUMPRODUCT(SUMIFS($F$2:$F$36,$H$2:$H$36,M5,$I$2:$I$36,TRUE))</f>
        <v>196</v>
      </c>
    </row>
    <row r="6" spans="1:15" ht="29.25" customHeight="1" x14ac:dyDescent="0.3">
      <c r="A6" s="11"/>
      <c r="B6" s="2" t="s">
        <v>19</v>
      </c>
      <c r="C6" s="5" t="s">
        <v>20</v>
      </c>
      <c r="D6" s="4" t="s">
        <v>12</v>
      </c>
      <c r="E6" s="4" t="s">
        <v>21</v>
      </c>
      <c r="F6" s="4">
        <v>21</v>
      </c>
      <c r="G6" s="4">
        <v>2</v>
      </c>
      <c r="H6" s="7">
        <v>45964</v>
      </c>
      <c r="I6" s="6" t="b">
        <v>1</v>
      </c>
      <c r="K6" s="9"/>
      <c r="M6" s="7">
        <v>45985</v>
      </c>
      <c r="N6">
        <f>SUMPRODUCT(SUMIFS($F$2:$F$37,$H$2:$H$37,M6))</f>
        <v>94</v>
      </c>
      <c r="O6">
        <f>SUMPRODUCT(SUMIFS($F$2:$F$37,$H$2:$H$37,M6,$I$2:$I$37,TRUE))</f>
        <v>94</v>
      </c>
    </row>
    <row r="7" spans="1:15" ht="29.25" customHeight="1" x14ac:dyDescent="0.3">
      <c r="A7" s="11"/>
      <c r="B7" s="2" t="s">
        <v>22</v>
      </c>
      <c r="C7" s="5" t="s">
        <v>23</v>
      </c>
      <c r="D7" s="4" t="s">
        <v>12</v>
      </c>
      <c r="E7" s="4" t="s">
        <v>24</v>
      </c>
      <c r="F7" s="4">
        <v>13</v>
      </c>
      <c r="G7" s="4">
        <v>2</v>
      </c>
      <c r="H7" s="7">
        <v>45964</v>
      </c>
      <c r="I7" s="6" t="b">
        <v>1</v>
      </c>
      <c r="M7" s="3" t="s">
        <v>25</v>
      </c>
      <c r="N7">
        <f>AVERAGE(N3:N6)</f>
        <v>106</v>
      </c>
      <c r="O7">
        <f>AVERAGE(O3:O6)</f>
        <v>106</v>
      </c>
    </row>
    <row r="8" spans="1:15" ht="24" customHeight="1" x14ac:dyDescent="0.3">
      <c r="A8" s="11"/>
      <c r="B8" s="2" t="s">
        <v>26</v>
      </c>
      <c r="C8" s="4" t="s">
        <v>27</v>
      </c>
      <c r="D8" s="4" t="s">
        <v>12</v>
      </c>
      <c r="E8" s="4" t="s">
        <v>24</v>
      </c>
      <c r="F8" s="4">
        <v>13</v>
      </c>
      <c r="G8" s="4">
        <v>2</v>
      </c>
      <c r="H8" s="7">
        <v>45964</v>
      </c>
      <c r="I8" s="6" t="b">
        <v>1</v>
      </c>
    </row>
    <row r="9" spans="1:15" ht="24" customHeight="1" x14ac:dyDescent="0.3">
      <c r="A9" s="11" t="s">
        <v>28</v>
      </c>
      <c r="B9" s="2" t="s">
        <v>29</v>
      </c>
      <c r="C9" s="5" t="s">
        <v>30</v>
      </c>
      <c r="D9" s="4" t="s">
        <v>12</v>
      </c>
      <c r="E9" s="4" t="s">
        <v>24</v>
      </c>
      <c r="F9" s="4">
        <v>13</v>
      </c>
      <c r="G9" s="4">
        <v>1</v>
      </c>
      <c r="H9" s="7">
        <v>45971</v>
      </c>
      <c r="I9" s="6" t="b">
        <v>1</v>
      </c>
    </row>
    <row r="10" spans="1:15" ht="28.8" x14ac:dyDescent="0.3">
      <c r="A10" s="11"/>
      <c r="B10" s="2" t="s">
        <v>31</v>
      </c>
      <c r="C10" s="5" t="s">
        <v>32</v>
      </c>
      <c r="D10" s="4" t="s">
        <v>12</v>
      </c>
      <c r="E10" s="4" t="s">
        <v>24</v>
      </c>
      <c r="F10" s="4">
        <v>13</v>
      </c>
      <c r="G10" s="4">
        <v>2</v>
      </c>
      <c r="H10" s="7">
        <v>45971</v>
      </c>
      <c r="I10" s="6" t="b">
        <v>1</v>
      </c>
    </row>
    <row r="11" spans="1:15" ht="24" customHeight="1" x14ac:dyDescent="0.3">
      <c r="A11" s="11"/>
      <c r="B11" s="2" t="s">
        <v>33</v>
      </c>
      <c r="C11" s="4" t="s">
        <v>34</v>
      </c>
      <c r="D11" s="4" t="s">
        <v>12</v>
      </c>
      <c r="E11" s="4" t="s">
        <v>24</v>
      </c>
      <c r="F11" s="4">
        <v>13</v>
      </c>
      <c r="G11" s="4">
        <v>1</v>
      </c>
      <c r="H11" s="7">
        <v>45971</v>
      </c>
      <c r="I11" s="6" t="b">
        <v>1</v>
      </c>
    </row>
    <row r="12" spans="1:15" ht="24" customHeight="1" x14ac:dyDescent="0.3">
      <c r="A12" s="11" t="s">
        <v>35</v>
      </c>
      <c r="B12" s="10" t="s">
        <v>36</v>
      </c>
      <c r="C12" s="5" t="s">
        <v>37</v>
      </c>
      <c r="D12" s="4" t="s">
        <v>12</v>
      </c>
      <c r="E12" s="4" t="s">
        <v>21</v>
      </c>
      <c r="F12" s="4">
        <v>21</v>
      </c>
      <c r="G12" s="4">
        <v>1</v>
      </c>
      <c r="H12" s="7">
        <v>45978</v>
      </c>
      <c r="I12" s="6" t="b">
        <v>1</v>
      </c>
    </row>
    <row r="13" spans="1:15" ht="24" customHeight="1" x14ac:dyDescent="0.3">
      <c r="A13" s="11"/>
      <c r="B13" s="10"/>
      <c r="C13" s="4" t="s">
        <v>38</v>
      </c>
      <c r="D13" s="4" t="s">
        <v>12</v>
      </c>
      <c r="E13" s="4" t="s">
        <v>13</v>
      </c>
      <c r="F13" s="4">
        <v>8</v>
      </c>
      <c r="G13" s="4">
        <v>1</v>
      </c>
      <c r="H13" s="7">
        <v>45978</v>
      </c>
      <c r="I13" s="6" t="b">
        <v>1</v>
      </c>
    </row>
    <row r="14" spans="1:15" ht="24" customHeight="1" x14ac:dyDescent="0.3">
      <c r="A14" s="11"/>
      <c r="B14" s="10"/>
      <c r="C14" s="4" t="s">
        <v>39</v>
      </c>
      <c r="D14" s="4" t="s">
        <v>18</v>
      </c>
      <c r="E14" s="4" t="s">
        <v>21</v>
      </c>
      <c r="F14" s="4">
        <v>21</v>
      </c>
      <c r="G14" s="4">
        <v>2</v>
      </c>
      <c r="H14" s="7">
        <v>45978</v>
      </c>
      <c r="I14" s="6" t="b">
        <v>1</v>
      </c>
    </row>
    <row r="15" spans="1:15" ht="24" customHeight="1" x14ac:dyDescent="0.3">
      <c r="A15" s="11"/>
      <c r="B15" s="10"/>
      <c r="C15" s="4" t="s">
        <v>40</v>
      </c>
      <c r="D15" s="4" t="s">
        <v>41</v>
      </c>
      <c r="E15" s="4" t="s">
        <v>24</v>
      </c>
      <c r="F15" s="4">
        <v>13</v>
      </c>
      <c r="G15" s="4">
        <v>3</v>
      </c>
      <c r="H15" s="7">
        <v>45978</v>
      </c>
      <c r="I15" s="6" t="b">
        <v>1</v>
      </c>
    </row>
    <row r="16" spans="1:15" ht="24" customHeight="1" x14ac:dyDescent="0.3">
      <c r="A16" s="11"/>
      <c r="B16" s="10"/>
      <c r="C16" s="4" t="s">
        <v>43</v>
      </c>
      <c r="D16" s="4" t="s">
        <v>12</v>
      </c>
      <c r="E16" s="4" t="s">
        <v>21</v>
      </c>
      <c r="F16" s="4">
        <v>21</v>
      </c>
      <c r="G16" s="4">
        <v>2</v>
      </c>
      <c r="H16" s="7">
        <v>45978</v>
      </c>
      <c r="I16" s="6" t="b">
        <v>1</v>
      </c>
    </row>
    <row r="17" spans="1:9" ht="24" customHeight="1" x14ac:dyDescent="0.3">
      <c r="A17" s="11"/>
      <c r="B17" s="10"/>
      <c r="C17" s="4" t="s">
        <v>44</v>
      </c>
      <c r="D17" s="4" t="s">
        <v>12</v>
      </c>
      <c r="E17" s="4" t="s">
        <v>13</v>
      </c>
      <c r="F17" s="4">
        <v>8</v>
      </c>
      <c r="G17" s="4">
        <v>1</v>
      </c>
      <c r="H17" s="7">
        <v>45978</v>
      </c>
      <c r="I17" s="6" t="b">
        <v>1</v>
      </c>
    </row>
    <row r="18" spans="1:9" ht="24" customHeight="1" x14ac:dyDescent="0.3">
      <c r="A18" s="11"/>
      <c r="B18" s="10"/>
      <c r="C18" s="4" t="s">
        <v>45</v>
      </c>
      <c r="D18" s="4" t="s">
        <v>12</v>
      </c>
      <c r="E18" s="4" t="s">
        <v>24</v>
      </c>
      <c r="F18" s="4">
        <v>13</v>
      </c>
      <c r="G18" s="4">
        <v>1</v>
      </c>
      <c r="H18" s="7">
        <v>45978</v>
      </c>
      <c r="I18" s="6" t="b">
        <v>1</v>
      </c>
    </row>
    <row r="19" spans="1:9" ht="24" customHeight="1" x14ac:dyDescent="0.3">
      <c r="A19" s="11"/>
      <c r="B19" s="10" t="s">
        <v>42</v>
      </c>
      <c r="C19" s="4" t="s">
        <v>43</v>
      </c>
      <c r="D19" s="4" t="s">
        <v>18</v>
      </c>
      <c r="E19" s="4" t="s">
        <v>24</v>
      </c>
      <c r="F19" s="4">
        <v>13</v>
      </c>
      <c r="G19" s="4">
        <v>3</v>
      </c>
      <c r="H19" s="7">
        <v>45978</v>
      </c>
      <c r="I19" s="6" t="b">
        <v>1</v>
      </c>
    </row>
    <row r="20" spans="1:9" ht="24" customHeight="1" x14ac:dyDescent="0.3">
      <c r="A20" s="11"/>
      <c r="B20" s="10"/>
      <c r="C20" s="4" t="s">
        <v>44</v>
      </c>
      <c r="D20" s="4" t="s">
        <v>12</v>
      </c>
      <c r="E20" s="4" t="s">
        <v>24</v>
      </c>
      <c r="F20" s="4">
        <v>13</v>
      </c>
      <c r="G20" s="4">
        <v>1</v>
      </c>
      <c r="H20" s="7">
        <v>45978</v>
      </c>
      <c r="I20" s="6" t="b">
        <v>1</v>
      </c>
    </row>
    <row r="21" spans="1:9" ht="24" customHeight="1" x14ac:dyDescent="0.3">
      <c r="A21" s="11"/>
      <c r="B21" s="10"/>
      <c r="C21" s="4" t="s">
        <v>45</v>
      </c>
      <c r="D21" s="4" t="s">
        <v>12</v>
      </c>
      <c r="E21" s="4" t="s">
        <v>24</v>
      </c>
      <c r="F21" s="4">
        <v>13</v>
      </c>
      <c r="G21" s="4">
        <v>2</v>
      </c>
      <c r="H21" s="7">
        <v>45978</v>
      </c>
      <c r="I21" s="6" t="b">
        <v>1</v>
      </c>
    </row>
    <row r="22" spans="1:9" ht="24" customHeight="1" x14ac:dyDescent="0.3">
      <c r="A22" s="11"/>
      <c r="B22" s="10" t="s">
        <v>46</v>
      </c>
      <c r="C22" s="4" t="s">
        <v>43</v>
      </c>
      <c r="D22" s="4" t="s">
        <v>18</v>
      </c>
      <c r="E22" s="4" t="s">
        <v>24</v>
      </c>
      <c r="F22" s="4">
        <v>13</v>
      </c>
      <c r="G22" s="4">
        <v>3</v>
      </c>
      <c r="H22" s="7">
        <v>45978</v>
      </c>
      <c r="I22" s="6" t="b">
        <v>1</v>
      </c>
    </row>
    <row r="23" spans="1:9" ht="24" customHeight="1" x14ac:dyDescent="0.3">
      <c r="A23" s="11"/>
      <c r="B23" s="10"/>
      <c r="C23" s="4" t="s">
        <v>44</v>
      </c>
      <c r="D23" s="4" t="s">
        <v>12</v>
      </c>
      <c r="E23" s="4" t="s">
        <v>24</v>
      </c>
      <c r="F23" s="4">
        <v>13</v>
      </c>
      <c r="G23" s="4">
        <v>1</v>
      </c>
      <c r="H23" s="7">
        <v>45978</v>
      </c>
      <c r="I23" s="6" t="b">
        <v>1</v>
      </c>
    </row>
    <row r="24" spans="1:9" ht="24" customHeight="1" x14ac:dyDescent="0.3">
      <c r="A24" s="11"/>
      <c r="B24" s="10"/>
      <c r="C24" s="4" t="s">
        <v>45</v>
      </c>
      <c r="D24" s="4" t="s">
        <v>12</v>
      </c>
      <c r="E24" s="4" t="s">
        <v>24</v>
      </c>
      <c r="F24" s="4">
        <v>13</v>
      </c>
      <c r="G24" s="4">
        <v>2</v>
      </c>
      <c r="H24" s="7">
        <v>45978</v>
      </c>
      <c r="I24" s="6" t="b">
        <v>1</v>
      </c>
    </row>
    <row r="25" spans="1:9" ht="23.4" x14ac:dyDescent="0.3">
      <c r="A25" s="3" t="s">
        <v>47</v>
      </c>
      <c r="B25" s="2" t="s">
        <v>48</v>
      </c>
      <c r="C25" s="4" t="s">
        <v>49</v>
      </c>
      <c r="D25" s="4" t="s">
        <v>12</v>
      </c>
      <c r="E25" s="4" t="s">
        <v>24</v>
      </c>
      <c r="F25" s="4">
        <v>13</v>
      </c>
      <c r="G25" s="4">
        <v>1</v>
      </c>
      <c r="H25" s="7">
        <v>45978</v>
      </c>
      <c r="I25" s="6" t="b">
        <v>1</v>
      </c>
    </row>
    <row r="26" spans="1:9" ht="23.4" x14ac:dyDescent="0.45">
      <c r="A26" s="1" t="s">
        <v>50</v>
      </c>
      <c r="B26" s="2" t="s">
        <v>51</v>
      </c>
      <c r="C26" s="4" t="s">
        <v>52</v>
      </c>
      <c r="D26" s="4" t="s">
        <v>12</v>
      </c>
      <c r="E26" s="4" t="s">
        <v>13</v>
      </c>
      <c r="F26" s="4">
        <v>8</v>
      </c>
      <c r="G26" s="4">
        <v>1</v>
      </c>
      <c r="H26" s="7">
        <v>45971</v>
      </c>
      <c r="I26" s="6" t="b">
        <v>1</v>
      </c>
    </row>
    <row r="27" spans="1:9" ht="24" customHeight="1" x14ac:dyDescent="0.3">
      <c r="A27" s="11" t="s">
        <v>53</v>
      </c>
      <c r="B27" s="2" t="s">
        <v>11</v>
      </c>
      <c r="C27" s="4" t="s">
        <v>54</v>
      </c>
      <c r="D27" s="4" t="s">
        <v>12</v>
      </c>
      <c r="E27" s="4" t="s">
        <v>13</v>
      </c>
      <c r="F27" s="4">
        <v>8</v>
      </c>
      <c r="G27" s="4">
        <v>1</v>
      </c>
      <c r="H27" s="7">
        <v>45964</v>
      </c>
      <c r="I27" s="6" t="b">
        <v>1</v>
      </c>
    </row>
    <row r="28" spans="1:9" ht="24" customHeight="1" x14ac:dyDescent="0.3">
      <c r="A28" s="11"/>
      <c r="B28" s="10" t="s">
        <v>55</v>
      </c>
      <c r="C28" s="4" t="s">
        <v>43</v>
      </c>
      <c r="D28" s="4" t="s">
        <v>12</v>
      </c>
      <c r="E28" s="4" t="s">
        <v>24</v>
      </c>
      <c r="F28" s="4">
        <v>13</v>
      </c>
      <c r="G28" s="4">
        <v>3</v>
      </c>
      <c r="H28" s="7">
        <v>45985</v>
      </c>
      <c r="I28" s="6" t="b">
        <v>1</v>
      </c>
    </row>
    <row r="29" spans="1:9" ht="24" customHeight="1" x14ac:dyDescent="0.3">
      <c r="A29" s="11"/>
      <c r="B29" s="10"/>
      <c r="C29" s="4" t="s">
        <v>44</v>
      </c>
      <c r="D29" s="4" t="s">
        <v>12</v>
      </c>
      <c r="E29" s="4" t="s">
        <v>24</v>
      </c>
      <c r="F29" s="4">
        <v>13</v>
      </c>
      <c r="G29" s="4">
        <v>1</v>
      </c>
      <c r="H29" s="7">
        <v>45985</v>
      </c>
      <c r="I29" s="6" t="b">
        <v>1</v>
      </c>
    </row>
    <row r="30" spans="1:9" ht="24" customHeight="1" x14ac:dyDescent="0.3">
      <c r="A30" s="11"/>
      <c r="B30" s="10"/>
      <c r="C30" s="4" t="s">
        <v>45</v>
      </c>
      <c r="D30" s="4" t="s">
        <v>12</v>
      </c>
      <c r="E30" s="4" t="s">
        <v>24</v>
      </c>
      <c r="F30" s="4">
        <v>13</v>
      </c>
      <c r="G30" s="4">
        <v>2</v>
      </c>
      <c r="H30" s="7">
        <v>45985</v>
      </c>
      <c r="I30" s="6" t="b">
        <v>1</v>
      </c>
    </row>
    <row r="31" spans="1:9" ht="24" customHeight="1" x14ac:dyDescent="0.3">
      <c r="A31" s="11"/>
      <c r="B31" s="10"/>
      <c r="C31" s="4" t="s">
        <v>56</v>
      </c>
      <c r="D31" s="4" t="s">
        <v>12</v>
      </c>
      <c r="E31" s="4" t="s">
        <v>24</v>
      </c>
      <c r="F31" s="4">
        <v>13</v>
      </c>
      <c r="G31" s="4">
        <v>1</v>
      </c>
      <c r="H31" s="7">
        <v>45985</v>
      </c>
      <c r="I31" s="6" t="b">
        <v>1</v>
      </c>
    </row>
    <row r="32" spans="1:9" ht="57.6" x14ac:dyDescent="0.3">
      <c r="A32" s="11" t="s">
        <v>57</v>
      </c>
      <c r="B32" s="10" t="s">
        <v>58</v>
      </c>
      <c r="C32" s="5" t="s">
        <v>59</v>
      </c>
      <c r="D32" s="4" t="s">
        <v>12</v>
      </c>
      <c r="E32" s="4" t="s">
        <v>13</v>
      </c>
      <c r="F32" s="4">
        <v>8</v>
      </c>
      <c r="G32" s="4">
        <v>1</v>
      </c>
      <c r="H32" s="7">
        <v>45985</v>
      </c>
      <c r="I32" s="6" t="b">
        <v>1</v>
      </c>
    </row>
    <row r="33" spans="1:9" ht="43.2" x14ac:dyDescent="0.3">
      <c r="A33" s="11"/>
      <c r="B33" s="10"/>
      <c r="C33" s="5" t="s">
        <v>60</v>
      </c>
      <c r="D33" s="4" t="s">
        <v>12</v>
      </c>
      <c r="E33" s="4" t="s">
        <v>13</v>
      </c>
      <c r="F33" s="4">
        <v>8</v>
      </c>
      <c r="G33" s="4">
        <v>1</v>
      </c>
      <c r="H33" s="7">
        <v>45985</v>
      </c>
      <c r="I33" s="6" t="b">
        <v>1</v>
      </c>
    </row>
    <row r="34" spans="1:9" ht="14.4" customHeight="1" x14ac:dyDescent="0.3">
      <c r="A34" s="11"/>
      <c r="B34" s="10"/>
      <c r="C34" s="4" t="s">
        <v>61</v>
      </c>
      <c r="D34" s="4" t="s">
        <v>12</v>
      </c>
      <c r="E34" s="4" t="s">
        <v>13</v>
      </c>
      <c r="F34" s="4">
        <v>8</v>
      </c>
      <c r="G34" s="4">
        <v>3</v>
      </c>
      <c r="H34" s="7">
        <v>45985</v>
      </c>
      <c r="I34" s="6" t="b">
        <v>1</v>
      </c>
    </row>
    <row r="35" spans="1:9" ht="28.8" x14ac:dyDescent="0.3">
      <c r="A35" s="11"/>
      <c r="B35" s="10"/>
      <c r="C35" s="5" t="s">
        <v>62</v>
      </c>
      <c r="D35" s="4" t="s">
        <v>12</v>
      </c>
      <c r="E35" s="4" t="s">
        <v>13</v>
      </c>
      <c r="F35" s="4">
        <v>8</v>
      </c>
      <c r="G35" s="4">
        <v>2</v>
      </c>
      <c r="H35" s="7">
        <v>45985</v>
      </c>
      <c r="I35" s="6" t="b">
        <v>1</v>
      </c>
    </row>
    <row r="36" spans="1:9" ht="43.2" x14ac:dyDescent="0.3">
      <c r="A36" s="11"/>
      <c r="B36" s="10"/>
      <c r="C36" s="5" t="s">
        <v>63</v>
      </c>
      <c r="D36" s="4" t="s">
        <v>12</v>
      </c>
      <c r="E36" s="4" t="s">
        <v>64</v>
      </c>
      <c r="F36" s="4">
        <v>5</v>
      </c>
      <c r="G36" s="4">
        <v>2</v>
      </c>
      <c r="H36" s="7">
        <v>45985</v>
      </c>
      <c r="I36" s="6" t="b">
        <v>1</v>
      </c>
    </row>
    <row r="37" spans="1:9" ht="43.2" x14ac:dyDescent="0.3">
      <c r="A37" s="11"/>
      <c r="B37" s="10"/>
      <c r="C37" s="5" t="s">
        <v>66</v>
      </c>
      <c r="D37" s="4" t="s">
        <v>12</v>
      </c>
      <c r="E37" s="4" t="s">
        <v>64</v>
      </c>
      <c r="F37" s="4">
        <v>5</v>
      </c>
      <c r="G37" s="4">
        <v>1</v>
      </c>
      <c r="H37" s="8">
        <v>45985</v>
      </c>
      <c r="I37" s="6" t="b">
        <v>1</v>
      </c>
    </row>
  </sheetData>
  <mergeCells count="11">
    <mergeCell ref="B32:B37"/>
    <mergeCell ref="A32:A37"/>
    <mergeCell ref="B28:B31"/>
    <mergeCell ref="A2:A8"/>
    <mergeCell ref="A9:A11"/>
    <mergeCell ref="A12:A24"/>
    <mergeCell ref="A27:A31"/>
    <mergeCell ref="B2:B5"/>
    <mergeCell ref="B19:B21"/>
    <mergeCell ref="B22:B24"/>
    <mergeCell ref="B12:B18"/>
  </mergeCells>
  <conditionalFormatting sqref="D1:D1048576">
    <cfRule type="containsText" dxfId="10" priority="21" operator="containsText" text="Desejável">
      <formula>NOT(ISERROR(SEARCH("Desejável",D1)))</formula>
    </cfRule>
    <cfRule type="containsText" dxfId="9" priority="22" operator="containsText" text="Importante">
      <formula>NOT(ISERROR(SEARCH("Importante",D1)))</formula>
    </cfRule>
    <cfRule type="containsText" dxfId="8" priority="23" operator="containsText" text="Essencial">
      <formula>NOT(ISERROR(SEARCH("Essencial",D1)))</formula>
    </cfRule>
  </conditionalFormatting>
  <conditionalFormatting sqref="H1:H1048576">
    <cfRule type="cellIs" dxfId="7" priority="17" operator="equal">
      <formula>$H$3</formula>
    </cfRule>
    <cfRule type="cellIs" dxfId="6" priority="18" operator="equal">
      <formula>$H$5</formula>
    </cfRule>
    <cfRule type="cellIs" dxfId="5" priority="19" operator="equal">
      <formula>$H$12</formula>
    </cfRule>
    <cfRule type="cellIs" dxfId="4" priority="20" operator="equal">
      <formula>$H$28</formula>
    </cfRule>
  </conditionalFormatting>
  <conditionalFormatting sqref="M3:M6">
    <cfRule type="cellIs" dxfId="3" priority="1" operator="equal">
      <formula>$H$3</formula>
    </cfRule>
    <cfRule type="cellIs" dxfId="2" priority="2" operator="equal">
      <formula>$H$5</formula>
    </cfRule>
    <cfRule type="cellIs" dxfId="1" priority="3" operator="equal">
      <formula>$H$12</formula>
    </cfRule>
    <cfRule type="cellIs" dxfId="0" priority="4" operator="equal">
      <formula>$H$28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 Sato</cp:lastModifiedBy>
  <cp:revision/>
  <dcterms:created xsi:type="dcterms:W3CDTF">2025-11-01T21:51:16Z</dcterms:created>
  <dcterms:modified xsi:type="dcterms:W3CDTF">2025-12-03T11:28:35Z</dcterms:modified>
  <cp:category/>
  <cp:contentStatus/>
</cp:coreProperties>
</file>